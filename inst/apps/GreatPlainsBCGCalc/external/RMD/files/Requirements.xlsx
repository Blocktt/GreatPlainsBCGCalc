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rik.Leppo\Documents\GitHub\GreatPlainsBCGCalc\inst\apps\GreatPlainsBCGCalc\external\RMD\files\"/>
    </mc:Choice>
  </mc:AlternateContent>
  <xr:revisionPtr revIDLastSave="0" documentId="13_ncr:1_{C9FE7602-F805-49C9-AB62-1088343FA2A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q_metadata" sheetId="1" r:id="rId1"/>
    <sheet name="Fish_classes" sheetId="2" r:id="rId2"/>
    <sheet name="Bug_classes" sheetId="3" r:id="rId3"/>
    <sheet name="NOTES" sheetId="5" r:id="rId4"/>
  </sheets>
  <definedNames>
    <definedName name="FileName">NOTES!$B$8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C18" i="5" s="1"/>
  <c r="B7" i="5"/>
  <c r="C16" i="5" l="1"/>
  <c r="C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C5DAB5B7-8E5B-4384-AE40-552AFFBB3A78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sharedStrings.xml><?xml version="1.0" encoding="utf-8"?>
<sst xmlns="http://schemas.openxmlformats.org/spreadsheetml/2006/main" count="103" uniqueCount="79">
  <si>
    <t>Index_Name</t>
  </si>
  <si>
    <t>INDEX_CLASS</t>
  </si>
  <si>
    <t>Description</t>
  </si>
  <si>
    <t>IA_Bugs_BCG</t>
  </si>
  <si>
    <t>CIP_medlrg_soft</t>
  </si>
  <si>
    <t>Omernik ecoregion = Central Irregular Plains (CIP; 40), DrainageArea &gt;= 75km2 (30mi2), % soft sediment (reach-scale) &gt;= 60%</t>
  </si>
  <si>
    <t>WCBP_medlrg_soft</t>
  </si>
  <si>
    <t>Omernik ecoregion = Western Corn Belt (WCBP; 47) excluding the Iowan Surface (47c), DrainageArea &gt;= 75km2 (30mi2), % soft sediment (reach-scale) &gt;= 60%</t>
  </si>
  <si>
    <t>IowaSrf_medlrg_soft</t>
  </si>
  <si>
    <t>Omernik ecoregion = Iowan Surface (47c), DrainageArea &gt;= 75km2 (30mi2), % soft sediment (reach-scale) &gt;= 60%</t>
  </si>
  <si>
    <t>KS_Bugs_BCG</t>
  </si>
  <si>
    <t>MO_Bugs_BCG</t>
  </si>
  <si>
    <t>DNR_GlidePool_fall</t>
  </si>
  <si>
    <t>Agency = MO DNR, Sampling Regime = GlidePool (GP), Season = fall (approx September 15-October 15)</t>
  </si>
  <si>
    <t>NE_Bugs_BCG</t>
  </si>
  <si>
    <t>CGP_mNRSA</t>
  </si>
  <si>
    <t>Omernik ecoregion = Central Great Plains (CGP; 27), Sampling Method = modified EPA National Rivers and Streams Assessment (NRSA)</t>
  </si>
  <si>
    <t>WCBP_mNRSA</t>
  </si>
  <si>
    <t>Level 3 ecoregion = Western Corn Belt (WCBP; 47), Sampling Method = modified EPA National Rivers and Streams Assessment (NRSA)</t>
  </si>
  <si>
    <t>RifRocky_mNRSA</t>
  </si>
  <si>
    <t>Sampling Method = modified EPA National Rivers and Streams Assessment (NRSA), % Cobble &gt;= 10% and % Riffle &gt; 5%</t>
  </si>
  <si>
    <t>GP_Fish_BCG</t>
  </si>
  <si>
    <t>Small_47c</t>
  </si>
  <si>
    <t>Omernik ecoregion = Iowan Surface (47c), DrainageArea &lt; 100 km2 (38.6 mi2)</t>
  </si>
  <si>
    <t>Large_47c</t>
  </si>
  <si>
    <t>Omernik ecoregion = Iowan Surface (47c), DrainageArea &gt;= 100 km2 (38.6 mi2)</t>
  </si>
  <si>
    <t>Small_Not_47c</t>
  </si>
  <si>
    <t>Omernik ecoregion NOT Iowan Surface (47c), DrainageArea &lt; 100 km2 (38.6 mi2)</t>
  </si>
  <si>
    <t>Large_Not_47c</t>
  </si>
  <si>
    <t>Omernik ecoregion NOT Iowan Surface (47c), DrainageArea &gt;= 100 km2 (38.6 mi2)</t>
  </si>
  <si>
    <t>Column Name </t>
  </si>
  <si>
    <t>Name</t>
  </si>
  <si>
    <t>Data Type</t>
  </si>
  <si>
    <t>Domain (allowable entries)</t>
  </si>
  <si>
    <t>flexible</t>
  </si>
  <si>
    <t>text</t>
  </si>
  <si>
    <t>GP_Fish_BCG, IA_Bugs_BCG, KS_Bugs_BCG, MO_Bugs_BCG, NE_Bugs_BCG</t>
  </si>
  <si>
    <t>Tells R which calculation to run</t>
  </si>
  <si>
    <t>Index_Class</t>
  </si>
  <si>
    <t>see table below for list of options</t>
  </si>
  <si>
    <t>Tells R which rules and metrics to apply, based on class</t>
  </si>
  <si>
    <t>SampleID</t>
  </si>
  <si>
    <t>NA (flexible)</t>
  </si>
  <si>
    <t>Unique sample identifier (typically comprised of the site name, sample date, and replicate number)</t>
  </si>
  <si>
    <t>TaxaID</t>
  </si>
  <si>
    <t>Taxon name, using the BCG Operational Taxonomic Unit (OTU)</t>
  </si>
  <si>
    <t>N_Taxa</t>
  </si>
  <si>
    <t>numeric</t>
  </si>
  <si>
    <t>non-negative real number or for large/rare entries, -99, 0 or blank</t>
  </si>
  <si>
    <t>Number of individuals</t>
  </si>
  <si>
    <t>Large</t>
  </si>
  <si>
    <t>Median flow statistic (Perry et al. 2002) &gt; 100 CFS (cubic feet per second), summarized by KDHE CUSEGA. Covers all three Omernik ecoregions (Central Great Plains (CGP; 27), Western Corn Belt (WCBP; 47) and Central Irregular Plains (CIP; 40))</t>
  </si>
  <si>
    <t>CGP_Medium</t>
  </si>
  <si>
    <t>Omernik ecoregion = Central Great Plains (CGP; 27). Large size (median flow statistic (Perry et al. 2002) = 10-100 CFS (cubic feet per second), summarized by KDHE flow segment (CUSEGA))</t>
  </si>
  <si>
    <t>CIP_Medium</t>
  </si>
  <si>
    <t>Omernik ecoregion = Central Irregular Plains (CIP; 40). Medium size (median flow statistic (Perry et al. 2002) = 10-100 CFS (cubic feet per second), summarized by KDHE flow segment (CUSEGA))</t>
  </si>
  <si>
    <t>WCBP_SmallMedium</t>
  </si>
  <si>
    <t>Omernik ecoregion = Western Corn Belt (WCBP; 47). Small and medium size (median flow statistic (Perry et al. 2002) = 0.01-100 CFS (cubic feet per second), summarized by KDHE flow segment (CUSEGA))</t>
  </si>
  <si>
    <t>OK_Bugs_BCG</t>
  </si>
  <si>
    <t>Riffle100_ChiroC_CGP</t>
  </si>
  <si>
    <t>Omernik ecoregion = Central Great Plains (CGP; 27). 100-count, riffle habitat, coarse-level Chironomidae (CHIRONOMINI, DIAMESINAE, ORTHOCLADIINAE, PRODIAMESINAE, PSEUDOCHIRONOMINI, TANYPODINAE, TANYTARSINI)</t>
  </si>
  <si>
    <t>Riffle100_ChiroC_CIP</t>
  </si>
  <si>
    <t>Omernik ecoregion = Central Irregular Plains (CIP; 40). 100-count, riffle habitat, coarse-level Chironomidae (CHIRONOMINI, DIAMESINAE, ORTHOCLADIINAE, PRODIAMESINAE, PSEUDOCHIRONOMINI, TANYPODINAE, TANYTARSINI)</t>
  </si>
  <si>
    <t>Updated Bug_Classes per email, Jen 2026-07-06</t>
  </si>
  <si>
    <t>Project Name</t>
  </si>
  <si>
    <t>Specific Task</t>
  </si>
  <si>
    <t>Erik.Leppo@tetratech.com</t>
  </si>
  <si>
    <t>Path &amp; FileName</t>
  </si>
  <si>
    <t>FileName:</t>
  </si>
  <si>
    <t>TabName:</t>
  </si>
  <si>
    <t>Description of Work</t>
  </si>
  <si>
    <t>blah, blah, blah</t>
  </si>
  <si>
    <t>Worksheet</t>
  </si>
  <si>
    <t>Descriptions</t>
  </si>
  <si>
    <t>Link</t>
  </si>
  <si>
    <t>NOTES</t>
  </si>
  <si>
    <t>Description of work and other worksheets.</t>
  </si>
  <si>
    <t>Sheet2</t>
  </si>
  <si>
    <t>Sheet3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</si>
</sst>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13"/>
      <color theme="3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3" applyNumberFormat="0" applyFill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" fillId="3" borderId="1" xfId="0" applyFont="1" applyFill="1" applyBorder="1"/>
    <xf numFmtId="0" fontId="1" fillId="2" borderId="0" xfId="0" applyFont="1" applyFill="1"/>
    <xf numFmtId="14" fontId="0" fillId="0" borderId="0" xfId="0" applyNumberFormat="1"/>
    <xf numFmtId="14" fontId="1" fillId="0" borderId="0" xfId="0" applyNumberFormat="1" applyFont="1"/>
    <xf numFmtId="0" fontId="3" fillId="0" borderId="0" xfId="1"/>
    <xf numFmtId="0" fontId="4" fillId="0" borderId="2" xfId="2"/>
    <xf numFmtId="0" fontId="5" fillId="0" borderId="0" xfId="3" applyAlignment="1" applyProtection="1"/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3" xfId="4"/>
    <xf numFmtId="0" fontId="0" fillId="0" borderId="0" xfId="0" applyAlignment="1">
      <alignment horizontal="center"/>
    </xf>
    <xf numFmtId="0" fontId="5" fillId="4" borderId="0" xfId="3" applyFill="1" applyAlignment="1" applyProtection="1">
      <alignment horizontal="center"/>
    </xf>
    <xf numFmtId="0" fontId="5" fillId="0" borderId="0" xfId="3" applyAlignment="1" applyProtection="1">
      <alignment horizontal="center"/>
    </xf>
  </cellXfs>
  <cellStyles count="5">
    <cellStyle name="Heading 1 2" xfId="2" xr:uid="{E243649E-268E-4FEB-AD94-31C03C42A0FA}"/>
    <cellStyle name="Heading 2 2" xfId="4" xr:uid="{9FA7FE17-08C8-4A27-89F2-552038B14FA7}"/>
    <cellStyle name="Hyperlink 2" xfId="3" xr:uid="{20E99089-24BC-412B-A296-9CF62EAF35B4}"/>
    <cellStyle name="Normal" xfId="0" builtinId="0"/>
    <cellStyle name="Title 2" xfId="1" xr:uid="{189CC2E4-4022-4EDE-A684-D5D2F6E1C1A5}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3B3A1-9957-4959-974C-9053BB2A9958}" name="Table1" displayName="Table1" ref="A15:C18" totalsRowShown="0">
  <autoFilter ref="A15:C18" xr:uid="{00000000-0009-0000-0100-000001000000}"/>
  <tableColumns count="3">
    <tableColumn id="1" xr3:uid="{54D5AE47-091C-4A3A-B9FB-32A63A3E73AC}" name="Worksheet"/>
    <tableColumn id="2" xr3:uid="{4F93FEDA-7D22-446D-9402-22EBF90DCB8B}" name="Descriptions"/>
    <tableColumn id="3" xr3:uid="{A95F6004-A6FA-4E15-B9A3-1CFFED98E1D5}" name="Link" dataDxfId="0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k.Leppo@tetratech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3" sqref="D13"/>
    </sheetView>
  </sheetViews>
  <sheetFormatPr defaultRowHeight="15" x14ac:dyDescent="0.25"/>
  <cols>
    <col min="1" max="1" width="14.140625" bestFit="1" customWidth="1"/>
    <col min="2" max="2" width="7.85546875" bestFit="1" customWidth="1"/>
    <col min="3" max="3" width="9.7109375" bestFit="1" customWidth="1"/>
    <col min="4" max="4" width="67" bestFit="1" customWidth="1"/>
    <col min="5" max="5" width="91.5703125" bestFit="1" customWidth="1"/>
  </cols>
  <sheetData>
    <row r="1" spans="1:5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2</v>
      </c>
    </row>
    <row r="2" spans="1:5" x14ac:dyDescent="0.25">
      <c r="A2" t="s">
        <v>0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25">
      <c r="A3" t="s">
        <v>38</v>
      </c>
      <c r="B3" t="s">
        <v>34</v>
      </c>
      <c r="C3" t="s">
        <v>35</v>
      </c>
      <c r="D3" t="s">
        <v>39</v>
      </c>
      <c r="E3" t="s">
        <v>40</v>
      </c>
    </row>
    <row r="4" spans="1:5" x14ac:dyDescent="0.25">
      <c r="A4" t="s">
        <v>41</v>
      </c>
      <c r="B4" t="s">
        <v>34</v>
      </c>
      <c r="C4" t="s">
        <v>35</v>
      </c>
      <c r="D4" t="s">
        <v>42</v>
      </c>
      <c r="E4" t="s">
        <v>43</v>
      </c>
    </row>
    <row r="5" spans="1:5" x14ac:dyDescent="0.25">
      <c r="A5" t="s">
        <v>44</v>
      </c>
      <c r="B5" t="s">
        <v>34</v>
      </c>
      <c r="C5" t="s">
        <v>35</v>
      </c>
      <c r="D5" t="s">
        <v>42</v>
      </c>
      <c r="E5" t="s">
        <v>45</v>
      </c>
    </row>
    <row r="6" spans="1:5" x14ac:dyDescent="0.25">
      <c r="A6" t="s">
        <v>46</v>
      </c>
      <c r="B6" t="s">
        <v>34</v>
      </c>
      <c r="C6" t="s">
        <v>47</v>
      </c>
      <c r="D6" t="s">
        <v>48</v>
      </c>
      <c r="E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D046-6A63-4BBB-9D13-B35090FAFC3C}">
  <dimension ref="A1:C5"/>
  <sheetViews>
    <sheetView workbookViewId="0">
      <selection sqref="A1:XFD1048576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74.140625" bestFit="1" customWidth="1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3" t="s">
        <v>21</v>
      </c>
      <c r="B2" s="3" t="s">
        <v>22</v>
      </c>
      <c r="C2" s="3" t="s">
        <v>23</v>
      </c>
    </row>
    <row r="3" spans="1:3" x14ac:dyDescent="0.25">
      <c r="A3" s="3" t="s">
        <v>21</v>
      </c>
      <c r="B3" s="3" t="s">
        <v>24</v>
      </c>
      <c r="C3" s="3" t="s">
        <v>25</v>
      </c>
    </row>
    <row r="4" spans="1:3" x14ac:dyDescent="0.25">
      <c r="A4" s="3" t="s">
        <v>21</v>
      </c>
      <c r="B4" s="3" t="s">
        <v>26</v>
      </c>
      <c r="C4" s="3" t="s">
        <v>27</v>
      </c>
    </row>
    <row r="5" spans="1:3" x14ac:dyDescent="0.25">
      <c r="A5" s="3" t="s">
        <v>21</v>
      </c>
      <c r="B5" s="3" t="s">
        <v>28</v>
      </c>
      <c r="C5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F720-FD3D-4A8B-8270-DD8AEA852B9F}">
  <dimension ref="A1:C14"/>
  <sheetViews>
    <sheetView tabSelected="1" workbookViewId="0">
      <selection sqref="A1:C14"/>
    </sheetView>
  </sheetViews>
  <sheetFormatPr defaultRowHeight="15" x14ac:dyDescent="0.25"/>
  <cols>
    <col min="1" max="1" width="14" bestFit="1" customWidth="1"/>
    <col min="2" max="2" width="19.7109375" bestFit="1" customWidth="1"/>
    <col min="3" max="3" width="14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4" t="s">
        <v>3</v>
      </c>
      <c r="B3" s="4" t="s">
        <v>8</v>
      </c>
      <c r="C3" s="3" t="s">
        <v>9</v>
      </c>
    </row>
    <row r="4" spans="1:3" x14ac:dyDescent="0.25">
      <c r="A4" s="2" t="s">
        <v>3</v>
      </c>
      <c r="B4" s="2" t="s">
        <v>6</v>
      </c>
      <c r="C4" s="3" t="s">
        <v>7</v>
      </c>
    </row>
    <row r="5" spans="1:3" x14ac:dyDescent="0.25">
      <c r="A5" s="4" t="s">
        <v>10</v>
      </c>
      <c r="B5" s="4" t="s">
        <v>52</v>
      </c>
      <c r="C5" s="3" t="s">
        <v>53</v>
      </c>
    </row>
    <row r="6" spans="1:3" x14ac:dyDescent="0.25">
      <c r="A6" s="4" t="s">
        <v>10</v>
      </c>
      <c r="B6" s="4" t="s">
        <v>54</v>
      </c>
      <c r="C6" s="3" t="s">
        <v>55</v>
      </c>
    </row>
    <row r="7" spans="1:3" x14ac:dyDescent="0.25">
      <c r="A7" s="4" t="s">
        <v>10</v>
      </c>
      <c r="B7" s="4" t="s">
        <v>50</v>
      </c>
      <c r="C7" s="3" t="s">
        <v>51</v>
      </c>
    </row>
    <row r="8" spans="1:3" x14ac:dyDescent="0.25">
      <c r="A8" s="4" t="s">
        <v>10</v>
      </c>
      <c r="B8" s="4" t="s">
        <v>56</v>
      </c>
      <c r="C8" s="3" t="s">
        <v>57</v>
      </c>
    </row>
    <row r="9" spans="1:3" x14ac:dyDescent="0.25">
      <c r="A9" s="4" t="s">
        <v>11</v>
      </c>
      <c r="B9" s="5" t="s">
        <v>12</v>
      </c>
      <c r="C9" s="3" t="s">
        <v>13</v>
      </c>
    </row>
    <row r="10" spans="1:3" x14ac:dyDescent="0.25">
      <c r="A10" s="4" t="s">
        <v>14</v>
      </c>
      <c r="B10" s="4" t="s">
        <v>15</v>
      </c>
      <c r="C10" s="3" t="s">
        <v>16</v>
      </c>
    </row>
    <row r="11" spans="1:3" x14ac:dyDescent="0.25">
      <c r="A11" s="4" t="s">
        <v>14</v>
      </c>
      <c r="B11" s="4" t="s">
        <v>19</v>
      </c>
      <c r="C11" s="3" t="s">
        <v>20</v>
      </c>
    </row>
    <row r="12" spans="1:3" x14ac:dyDescent="0.25">
      <c r="A12" s="4" t="s">
        <v>14</v>
      </c>
      <c r="B12" s="4" t="s">
        <v>17</v>
      </c>
      <c r="C12" s="3" t="s">
        <v>18</v>
      </c>
    </row>
    <row r="13" spans="1:3" x14ac:dyDescent="0.25">
      <c r="A13" s="4" t="s">
        <v>58</v>
      </c>
      <c r="B13" s="4" t="s">
        <v>59</v>
      </c>
      <c r="C13" s="3" t="s">
        <v>60</v>
      </c>
    </row>
    <row r="14" spans="1:3" x14ac:dyDescent="0.25">
      <c r="A14" s="4" t="s">
        <v>58</v>
      </c>
      <c r="B14" s="4" t="s">
        <v>61</v>
      </c>
      <c r="C14" s="3" t="s">
        <v>62</v>
      </c>
    </row>
  </sheetData>
  <sortState xmlns:xlrd2="http://schemas.microsoft.com/office/spreadsheetml/2017/richdata2" ref="A2:C14">
    <sortCondition ref="A2:A14"/>
    <sortCondition ref="B2:B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8C01-9751-40F9-BA1C-229D1428B6F5}">
  <sheetPr>
    <tabColor theme="1" tint="0.499984740745262"/>
  </sheetPr>
  <dimension ref="A1:C20"/>
  <sheetViews>
    <sheetView zoomScaleNormal="100" workbookViewId="0">
      <selection activeCell="A6" sqref="A6"/>
    </sheetView>
  </sheetViews>
  <sheetFormatPr defaultRowHeight="15" x14ac:dyDescent="0.25"/>
  <cols>
    <col min="1" max="1" width="15.28515625" customWidth="1"/>
    <col min="2" max="2" width="71.140625" customWidth="1"/>
    <col min="3" max="3" width="12.7109375" customWidth="1"/>
  </cols>
  <sheetData>
    <row r="1" spans="1:3" ht="23.25" x14ac:dyDescent="0.35">
      <c r="A1" s="10" t="s">
        <v>64</v>
      </c>
    </row>
    <row r="2" spans="1:3" ht="20.25" thickBot="1" x14ac:dyDescent="0.35">
      <c r="A2" s="11" t="s">
        <v>65</v>
      </c>
    </row>
    <row r="3" spans="1:3" ht="15.75" thickTop="1" x14ac:dyDescent="0.25"/>
    <row r="4" spans="1:3" x14ac:dyDescent="0.25">
      <c r="A4" s="12" t="s">
        <v>66</v>
      </c>
    </row>
    <row r="5" spans="1:3" x14ac:dyDescent="0.25">
      <c r="A5" s="8">
        <v>46211</v>
      </c>
    </row>
    <row r="7" spans="1:3" x14ac:dyDescent="0.25">
      <c r="A7" s="13" t="s">
        <v>67</v>
      </c>
      <c r="B7" s="14" t="str">
        <f ca="1">LEFT(CELL("filename",B7),FIND("]",CELL("filename",B7)))</f>
        <v>C:\Users\Erik.Leppo\Documents\GitHub\GreatPlainsBCGCalc\inst\apps\GreatPlainsBCGCalc\external\RMD\files\[Requirements.xlsx]</v>
      </c>
    </row>
    <row r="8" spans="1:3" x14ac:dyDescent="0.25">
      <c r="A8" s="13" t="s">
        <v>68</v>
      </c>
      <c r="B8" s="14" t="str">
        <f ca="1">MID(CELL("filename",B8),FIND("[",CELL("filename",B8)),(FIND("]",CELL("filename",B8))-FIND("[",CELL("filename",B8)))+1)</f>
        <v>[Requirements.xlsx]</v>
      </c>
    </row>
    <row r="9" spans="1:3" x14ac:dyDescent="0.25">
      <c r="A9" s="13" t="s">
        <v>69</v>
      </c>
      <c r="B9" s="15" t="str">
        <f ca="1">MID(CELL("filename",B9),FIND("]",CELL("filename",B9))+1,LEN(CELL("filename",B9))-FIND("]",CELL("filename",B9)))</f>
        <v>NOTES</v>
      </c>
    </row>
    <row r="11" spans="1:3" ht="18" thickBot="1" x14ac:dyDescent="0.35">
      <c r="A11" s="16" t="s">
        <v>70</v>
      </c>
    </row>
    <row r="12" spans="1:3" ht="15.75" thickTop="1" x14ac:dyDescent="0.25">
      <c r="A12" t="s">
        <v>71</v>
      </c>
    </row>
    <row r="15" spans="1:3" x14ac:dyDescent="0.25">
      <c r="A15" t="s">
        <v>72</v>
      </c>
      <c r="B15" t="s">
        <v>73</v>
      </c>
      <c r="C15" s="17" t="s">
        <v>74</v>
      </c>
    </row>
    <row r="16" spans="1:3" x14ac:dyDescent="0.25">
      <c r="A16" t="s">
        <v>75</v>
      </c>
      <c r="B16" t="s">
        <v>76</v>
      </c>
      <c r="C16" s="18" t="str">
        <f ca="1">HYPERLINK(FileName&amp;A16&amp;"!A1",A16)</f>
        <v>NOTES</v>
      </c>
    </row>
    <row r="17" spans="1:3" x14ac:dyDescent="0.25">
      <c r="A17" t="s">
        <v>77</v>
      </c>
      <c r="C17" s="19" t="str">
        <f ca="1">HYPERLINK(FileName&amp;A17&amp;"!A1",A17)</f>
        <v>Sheet2</v>
      </c>
    </row>
    <row r="18" spans="1:3" x14ac:dyDescent="0.25">
      <c r="A18" t="s">
        <v>78</v>
      </c>
      <c r="C18" s="19" t="str">
        <f ca="1">HYPERLINK(FileName&amp;A18&amp;"!A1",A18)</f>
        <v>Sheet3</v>
      </c>
    </row>
    <row r="20" spans="1:3" x14ac:dyDescent="0.25">
      <c r="A20" s="9">
        <v>46211</v>
      </c>
      <c r="B20" t="s">
        <v>63</v>
      </c>
    </row>
  </sheetData>
  <dataValidations count="1">
    <dataValidation type="custom" allowBlank="1" showInputMessage="1" showErrorMessage="1" sqref="B7:B8" xr:uid="{CDD6586A-AFA2-4CF6-9FE5-57E9BE9A5F8F}">
      <formula1>""</formula1>
    </dataValidation>
  </dataValidations>
  <hyperlinks>
    <hyperlink ref="A4" r:id="rId1" xr:uid="{E6624627-07BB-4DCC-9CFC-A6FFD44B7FB4}"/>
  </hyperlinks>
  <pageMargins left="0.7" right="0.7" top="0.75" bottom="0.75" header="0.3" footer="0.3"/>
  <pageSetup scale="91" orientation="portrait" r:id="rId2"/>
  <headerFooter>
    <oddHeader>&amp;C&amp;A</oddHeader>
    <oddFooter>&amp;L&amp;D&amp;CPage &amp;P of &amp;N&amp;R&amp;F</oddFooter>
  </headerFooter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Req_metadata</vt:lpstr>
      <vt:lpstr>Fish_classes</vt:lpstr>
      <vt:lpstr>Bug_classes</vt:lpstr>
      <vt:lpstr>NOTES</vt:lpstr>
      <vt:lpstr>FileName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Block, Ben</dc:creator>
  <cp:lastModifiedBy>Leppo, Erik</cp:lastModifiedBy>
  <dcterms:created xsi:type="dcterms:W3CDTF">2015-06-05T18:17:20Z</dcterms:created>
  <dcterms:modified xsi:type="dcterms:W3CDTF">2026-07-08T15:13:58Z</dcterms:modified>
</cp:coreProperties>
</file>